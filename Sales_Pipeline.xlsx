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UP SKILLS HUB\Excel\"/>
    </mc:Choice>
  </mc:AlternateContent>
  <xr:revisionPtr revIDLastSave="0" documentId="13_ncr:1_{94B5F68C-2FDC-4481-8CC9-A69885AF24CB}" xr6:coauthVersionLast="36" xr6:coauthVersionMax="36" xr10:uidLastSave="{00000000-0000-0000-0000-000000000000}"/>
  <bookViews>
    <workbookView minimized="1" xWindow="0" yWindow="0" windowWidth="28800" windowHeight="12105" xr2:uid="{00000000-000D-0000-FFFF-FFFF00000000}"/>
  </bookViews>
  <sheets>
    <sheet name="Sales Pipeline" sheetId="1" r:id="rId1"/>
  </sheets>
  <calcPr calcId="191029"/>
</workbook>
</file>

<file path=xl/calcChain.xml><?xml version="1.0" encoding="utf-8"?>
<calcChain xmlns="http://schemas.openxmlformats.org/spreadsheetml/2006/main">
  <c r="K2" i="1" l="1"/>
  <c r="J2" i="1"/>
  <c r="I8" i="1"/>
  <c r="I7" i="1"/>
  <c r="I6" i="1"/>
  <c r="I5" i="1"/>
  <c r="I4" i="1"/>
  <c r="I3" i="1"/>
  <c r="I2" i="1"/>
  <c r="H8" i="1"/>
  <c r="H7" i="1"/>
  <c r="H6" i="1"/>
  <c r="H5" i="1"/>
  <c r="H4" i="1"/>
  <c r="H3" i="1"/>
  <c r="H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<sst xmlns="http://schemas.openxmlformats.org/spreadsheetml/2006/main" count="51" uniqueCount="40">
  <si>
    <t>Deal ID</t>
  </si>
  <si>
    <t>Client Name</t>
  </si>
  <si>
    <t>Sales Rep</t>
  </si>
  <si>
    <t>Stage</t>
  </si>
  <si>
    <t>Deal Value</t>
  </si>
  <si>
    <t>Probability (%)</t>
  </si>
  <si>
    <t>Expected Revenue</t>
  </si>
  <si>
    <t>D001</t>
  </si>
  <si>
    <t>Alpha Ltd</t>
  </si>
  <si>
    <t>John</t>
  </si>
  <si>
    <t>Lead</t>
  </si>
  <si>
    <t>D002</t>
  </si>
  <si>
    <t>Beta Corp</t>
  </si>
  <si>
    <t>Mary</t>
  </si>
  <si>
    <t>Qualified</t>
  </si>
  <si>
    <t>Total Expected Revenue</t>
  </si>
  <si>
    <t>D003</t>
  </si>
  <si>
    <t>Gamma Co</t>
  </si>
  <si>
    <t>Alice</t>
  </si>
  <si>
    <t>Proposal</t>
  </si>
  <si>
    <t>Closed Won Revenue</t>
  </si>
  <si>
    <t>D004</t>
  </si>
  <si>
    <t>Delta Ltd</t>
  </si>
  <si>
    <t>Negotiation</t>
  </si>
  <si>
    <t>D005</t>
  </si>
  <si>
    <t>Epsilon Co</t>
  </si>
  <si>
    <t>Closed Won</t>
  </si>
  <si>
    <t>D006</t>
  </si>
  <si>
    <t>Zeta Ltd</t>
  </si>
  <si>
    <t>D007</t>
  </si>
  <si>
    <t>Eta Corp</t>
  </si>
  <si>
    <t>D008</t>
  </si>
  <si>
    <t>Theta Ltd</t>
  </si>
  <si>
    <t>D009</t>
  </si>
  <si>
    <t>Iota Co</t>
  </si>
  <si>
    <t>Closed Lost</t>
  </si>
  <si>
    <t>D010</t>
  </si>
  <si>
    <t>Kappa Ltd</t>
  </si>
  <si>
    <t>total deal valua for each stage</t>
  </si>
  <si>
    <t>count deals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</si>
</sst>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M3" sqref="M3"/>
    </sheetView>
  </sheetViews>
  <sheetFormatPr defaultColWidth="9" defaultRowHeight="15"/>
  <cols>
    <col min="2" max="2" width="15.140625" customWidth="1"/>
    <col min="3" max="3" width="12.42578125" customWidth="1"/>
    <col min="4" max="4" width="11.140625" customWidth="1"/>
    <col min="5" max="5" width="12.140625" customWidth="1"/>
    <col min="6" max="6" width="15.85546875" customWidth="1"/>
    <col min="7" max="7" width="17.28515625" customWidth="1"/>
    <col min="8" max="8" width="27.28515625" customWidth="1"/>
    <col min="9" max="9" width="12.42578125" customWidth="1"/>
    <col min="10" max="10" width="20.28515625" customWidth="1"/>
    <col min="11" max="12" width="22" customWidth="1"/>
    <col min="13" max="13" width="20.28515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38</v>
      </c>
      <c r="I1" s="1" t="s">
        <v>39</v>
      </c>
      <c r="J1" s="1" t="s">
        <v>20</v>
      </c>
      <c r="K1" s="1" t="s">
        <v>15</v>
      </c>
      <c r="L1" s="1"/>
      <c r="M1" s="1"/>
    </row>
    <row r="2" spans="1:13">
      <c r="A2" t="s">
        <v>7</v>
      </c>
      <c r="B2" t="s">
        <v>8</v>
      </c>
      <c r="C2" s="2" t="s">
        <v>9</v>
      </c>
      <c r="D2" t="s">
        <v>10</v>
      </c>
      <c r="E2">
        <v>800000</v>
      </c>
      <c r="F2">
        <v>20</v>
      </c>
      <c r="G2">
        <f t="shared" ref="G2:G11" si="0">E2*F2/100</f>
        <v>160000</v>
      </c>
      <c r="H2">
        <f>SUMIF(D2:D11,"Lead",E2:E11)</f>
        <v>1400000</v>
      </c>
      <c r="I2">
        <f>COUNTIF(D2:D11,"Lead")</f>
        <v>2</v>
      </c>
      <c r="J2">
        <f>SUMIF(D2:D11,"Closed won",E2:E11)</f>
        <v>1800000</v>
      </c>
      <c r="K2">
        <f>SUM(G2:G11)</f>
        <v>7415000</v>
      </c>
    </row>
    <row r="3" spans="1:13">
      <c r="A3" t="s">
        <v>11</v>
      </c>
      <c r="B3" t="s">
        <v>12</v>
      </c>
      <c r="C3" t="s">
        <v>13</v>
      </c>
      <c r="D3" t="s">
        <v>14</v>
      </c>
      <c r="E3">
        <v>1200000</v>
      </c>
      <c r="F3">
        <v>40</v>
      </c>
      <c r="G3">
        <f t="shared" si="0"/>
        <v>480000</v>
      </c>
      <c r="H3">
        <f>SUMIF(D2:D11,"Qualified",E2:E11)</f>
        <v>2200000</v>
      </c>
      <c r="I3">
        <f>COUNTIF(D2:D11,"Qualified")</f>
        <v>2</v>
      </c>
    </row>
    <row r="4" spans="1:13">
      <c r="A4" t="s">
        <v>16</v>
      </c>
      <c r="B4" t="s">
        <v>17</v>
      </c>
      <c r="C4" t="s">
        <v>18</v>
      </c>
      <c r="D4" t="s">
        <v>19</v>
      </c>
      <c r="E4">
        <v>1500000</v>
      </c>
      <c r="F4">
        <v>60</v>
      </c>
      <c r="G4">
        <f t="shared" si="0"/>
        <v>900000</v>
      </c>
      <c r="H4">
        <f>SUMIF(D2:D11,"Proposal",E2:E11)</f>
        <v>2800000</v>
      </c>
      <c r="I4">
        <f>COUNTIF(D2:D11,"Proposal")</f>
        <v>2</v>
      </c>
    </row>
    <row r="5" spans="1:13">
      <c r="A5" t="s">
        <v>21</v>
      </c>
      <c r="B5" t="s">
        <v>22</v>
      </c>
      <c r="C5" t="s">
        <v>9</v>
      </c>
      <c r="D5" t="s">
        <v>23</v>
      </c>
      <c r="E5">
        <v>2000000</v>
      </c>
      <c r="F5">
        <v>75</v>
      </c>
      <c r="G5">
        <f t="shared" si="0"/>
        <v>1500000</v>
      </c>
      <c r="H5">
        <f>SUMIF(D2:D11,"Negotiation",E2:E11)</f>
        <v>3700000</v>
      </c>
      <c r="I5">
        <f>COUNTIF(D2:D11,"Negotiation")</f>
        <v>2</v>
      </c>
    </row>
    <row r="6" spans="1:13">
      <c r="A6" t="s">
        <v>24</v>
      </c>
      <c r="B6" t="s">
        <v>25</v>
      </c>
      <c r="C6" t="s">
        <v>13</v>
      </c>
      <c r="D6" t="s">
        <v>26</v>
      </c>
      <c r="E6">
        <v>1800000</v>
      </c>
      <c r="F6">
        <v>100</v>
      </c>
      <c r="G6">
        <f t="shared" si="0"/>
        <v>1800000</v>
      </c>
      <c r="H6">
        <f>SUMIF(D2:D11,"Closed won",E2:E11)</f>
        <v>1800000</v>
      </c>
      <c r="I6">
        <f>COUNTIF(D2:D11,"Closed won")</f>
        <v>1</v>
      </c>
    </row>
    <row r="7" spans="1:13">
      <c r="A7" t="s">
        <v>27</v>
      </c>
      <c r="B7" t="s">
        <v>28</v>
      </c>
      <c r="C7" t="s">
        <v>18</v>
      </c>
      <c r="D7" t="s">
        <v>10</v>
      </c>
      <c r="E7">
        <v>600000</v>
      </c>
      <c r="F7">
        <v>20</v>
      </c>
      <c r="G7">
        <f t="shared" si="0"/>
        <v>120000</v>
      </c>
      <c r="H7">
        <f>SUMIF(D2:D11,"Closed Lost",E2:E11)</f>
        <v>900000</v>
      </c>
      <c r="I7">
        <f>COUNTIF(D2:D11,"Closed Lost")</f>
        <v>1</v>
      </c>
    </row>
    <row r="8" spans="1:13">
      <c r="A8" t="s">
        <v>29</v>
      </c>
      <c r="B8" t="s">
        <v>30</v>
      </c>
      <c r="C8" t="s">
        <v>9</v>
      </c>
      <c r="D8" t="s">
        <v>14</v>
      </c>
      <c r="E8">
        <v>1000000</v>
      </c>
      <c r="F8">
        <v>40</v>
      </c>
      <c r="G8">
        <f t="shared" si="0"/>
        <v>400000</v>
      </c>
      <c r="H8" s="3">
        <f>SUM(H2:H7)</f>
        <v>12800000</v>
      </c>
      <c r="I8" s="4">
        <f>SUM(I2:I7)</f>
        <v>10</v>
      </c>
    </row>
    <row r="9" spans="1:13">
      <c r="A9" t="s">
        <v>31</v>
      </c>
      <c r="B9" t="s">
        <v>32</v>
      </c>
      <c r="C9" t="s">
        <v>13</v>
      </c>
      <c r="D9" t="s">
        <v>19</v>
      </c>
      <c r="E9">
        <v>1300000</v>
      </c>
      <c r="F9">
        <v>60</v>
      </c>
      <c r="G9">
        <f t="shared" si="0"/>
        <v>780000</v>
      </c>
    </row>
    <row r="10" spans="1:13">
      <c r="A10" t="s">
        <v>33</v>
      </c>
      <c r="B10" t="s">
        <v>34</v>
      </c>
      <c r="C10" t="s">
        <v>18</v>
      </c>
      <c r="D10" t="s">
        <v>35</v>
      </c>
      <c r="E10">
        <v>900000</v>
      </c>
      <c r="F10">
        <v>0</v>
      </c>
      <c r="G10">
        <f t="shared" si="0"/>
        <v>0</v>
      </c>
    </row>
    <row r="11" spans="1:13">
      <c r="A11" t="s">
        <v>36</v>
      </c>
      <c r="B11" t="s">
        <v>37</v>
      </c>
      <c r="C11" t="s">
        <v>9</v>
      </c>
      <c r="D11" t="s">
        <v>23</v>
      </c>
      <c r="E11">
        <v>1700000</v>
      </c>
      <c r="F11">
        <v>75</v>
      </c>
      <c r="G11" s="5">
        <f t="shared" si="0"/>
        <v>1275000</v>
      </c>
    </row>
    <row r="12" spans="1:13">
      <c r="F12" s="2"/>
      <c r="G12" s="6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2026-03-03T10:08:00Z</dcterms:created>
  <dcterms:modified xsi:type="dcterms:W3CDTF">2026-03-03T11:37:12Z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BC2674A8E5C045BD85C8045DD3160A0F_12</vt:lpwstr>
  </property>
  <property fmtid="{D5CDD505-2E9C-101B-9397-08002B2CF9AE}" pid="3" name="KSOProductBuildVer">
    <vt:lpwstr>1033-12.2.0.23196</vt:lpwstr>
  </property>
</Properties>
</file>